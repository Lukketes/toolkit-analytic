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.Project\18-09\Planilha Inteligente\"/>
    </mc:Choice>
  </mc:AlternateContent>
  <xr:revisionPtr revIDLastSave="0" documentId="13_ncr:1_{E85833F2-0202-4855-AC54-E7F4F964D49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4 · Ficha" sheetId="7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4" i="7" l="1"/>
  <c r="E13" i="7"/>
  <c r="E12" i="7"/>
  <c r="E9" i="7"/>
  <c r="E8" i="7"/>
  <c r="E6" i="7"/>
  <c r="E5" i="7"/>
  <c r="E4" i="7"/>
  <c r="E10" i="7" l="1"/>
  <c r="G4" i="7"/>
</calcChain>
</file>

<file path=xl/sharedStrings.xml><?xml version="1.0" encoding="utf-8"?>
<sst xmlns="http://schemas.openxmlformats.org/spreadsheetml/2006/main" count="27" uniqueCount="27">
  <si>
    <t>#</t>
  </si>
  <si>
    <t>Média  x̄</t>
  </si>
  <si>
    <t>Mediana  Md</t>
  </si>
  <si>
    <t>Moda  Mo</t>
  </si>
  <si>
    <t>Desvio padrão  s</t>
  </si>
  <si>
    <t>Q1</t>
  </si>
  <si>
    <t>Q3</t>
  </si>
  <si>
    <t>4 · A Ficha da Variável</t>
  </si>
  <si>
    <t>BASE (entrada)</t>
  </si>
  <si>
    <t>A FICHA COMPLETA</t>
  </si>
  <si>
    <t>CENTRO</t>
  </si>
  <si>
    <t>A LEITURA EM UMA FRASE</t>
  </si>
  <si>
    <t>ESPALHAMENTO</t>
  </si>
  <si>
    <t>Essa frase — e não a tabela — é o produto do seu trabalho.</t>
  </si>
  <si>
    <t>Amplitude</t>
  </si>
  <si>
    <t>Ninguém numa reunião de produção quer ver doze números soltos.</t>
  </si>
  <si>
    <t>Coeficiente de variação</t>
  </si>
  <si>
    <t>Repare que a frase se reescreve sozinha quando você muda a base azul.</t>
  </si>
  <si>
    <t>POSIÇÃO</t>
  </si>
  <si>
    <t>Troque o 30 por 16 e leia de novo: o retrato do processo muda inteiro.</t>
  </si>
  <si>
    <t>Mediana (Q2)</t>
  </si>
  <si>
    <t>CHECKLIST DAS QUATRO CAIXAS</t>
  </si>
  <si>
    <t>1. Que dado é esse?          → classifique a coluna e monte a tabela de frequências</t>
  </si>
  <si>
    <t>2. Qual é o valor típico?    → média, mediana e moda — e compare as três</t>
  </si>
  <si>
    <t>3. Quanto varia?             → desvio padrão, e CV se for comparar tamanhos diferentes</t>
  </si>
  <si>
    <t>4. Onde cada valor está?     → Q1, mediana e Q3 — e olhe quem passou do Q3</t>
  </si>
  <si>
    <t>[MUDAR]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</si>
</sst>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9"/>
      <color rgb="FF222D3B"/>
      <name val="Arial"/>
      <charset val="1"/>
    </font>
    <font>
      <sz val="9"/>
      <color rgb="FF6B7A8C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1F6B4F"/>
      <name val="Arial"/>
      <charset val="1"/>
    </font>
    <font>
      <sz val="10"/>
      <color rgb="FF0000FF"/>
      <name val="Arial"/>
      <charset val="1"/>
    </font>
    <font>
      <b/>
      <sz val="11"/>
      <color rgb="FF000000"/>
      <name val="Arial"/>
      <charset val="1"/>
    </font>
    <font>
      <sz val="10"/>
      <color rgb="FF222D3B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222D3B"/>
        <bgColor rgb="FF333300"/>
      </patternFill>
    </fill>
    <fill>
      <patternFill patternType="solid">
        <fgColor rgb="FFE0F4F0"/>
        <bgColor rgb="FFCCFFFF"/>
      </patternFill>
    </fill>
    <fill>
      <patternFill patternType="solid">
        <fgColor rgb="FF2FB89A"/>
        <bgColor rgb="FF339966"/>
      </patternFill>
    </fill>
    <fill>
      <patternFill patternType="solid">
        <fgColor rgb="FF3A4859"/>
        <bgColor rgb="FF222D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0" fillId="2" borderId="0" xfId="0" applyFill="1"/>
    <xf numFmtId="0" fontId="3" fillId="0" borderId="0" xfId="0" applyFont="1"/>
    <xf numFmtId="0" fontId="2" fillId="0" borderId="0" xfId="0" applyFont="1"/>
    <xf numFmtId="0" fontId="4" fillId="4" borderId="0" xfId="0" applyFont="1" applyFill="1"/>
    <xf numFmtId="0" fontId="0" fillId="4" borderId="0" xfId="0" applyFill="1"/>
    <xf numFmtId="0" fontId="5" fillId="5" borderId="0" xfId="0" applyFont="1" applyFill="1" applyAlignment="1">
      <alignment horizontal="center" wrapText="1"/>
    </xf>
    <xf numFmtId="0" fontId="6" fillId="0" borderId="0" xfId="0" applyFont="1"/>
    <xf numFmtId="3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/>
    </xf>
    <xf numFmtId="3" fontId="7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4" fontId="8" fillId="3" borderId="0" xfId="0" applyNumberFormat="1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5" fillId="5" borderId="0" xfId="0" applyFont="1" applyFill="1"/>
    <xf numFmtId="0" fontId="0" fillId="5" borderId="0" xfId="0" applyFill="1"/>
    <xf numFmtId="0" fontId="9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B4F"/>
      <rgbColor rgb="FFC0C0C0"/>
      <rgbColor rgb="FF6B7A8C"/>
      <rgbColor rgb="FF9999FF"/>
      <rgbColor rgb="FF993366"/>
      <rgbColor rgb="FFFFFFCC"/>
      <rgbColor rgb="FFE0F4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FB89A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A4859"/>
      <rgbColor rgb="FF222D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B89A"/>
  </sheetPr>
  <dimension ref="A1:I17"/>
  <sheetViews>
    <sheetView showGridLines="0" tabSelected="1" zoomScaleNormal="100" workbookViewId="0">
      <pane ySplit="3" topLeftCell="A4" activePane="bottomLeft" state="frozen"/>
      <selection pane="bottomLeft" activeCell="A15" sqref="A15"/>
    </sheetView>
  </sheetViews>
  <sheetFormatPr defaultColWidth="8.7109375" defaultRowHeight="15" x14ac:dyDescent="0.25"/>
  <cols>
    <col min="1" max="1" width="4" customWidth="1"/>
    <col min="2" max="2" width="13" customWidth="1"/>
    <col min="3" max="3" width="3" customWidth="1"/>
    <col min="4" max="4" width="28" customWidth="1"/>
    <col min="5" max="5" width="13" customWidth="1"/>
    <col min="6" max="6" width="3" customWidth="1"/>
    <col min="7" max="7" width="52" customWidth="1"/>
  </cols>
  <sheetData>
    <row r="1" spans="1:9" ht="18" x14ac:dyDescent="0.25">
      <c r="A1" s="1" t="s">
        <v>7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5" t="s">
        <v>8</v>
      </c>
      <c r="B2" s="6"/>
      <c r="D2" s="5" t="s">
        <v>9</v>
      </c>
      <c r="E2" s="6"/>
    </row>
    <row r="3" spans="1:9" x14ac:dyDescent="0.25">
      <c r="A3" s="7" t="s">
        <v>0</v>
      </c>
      <c r="B3" s="7" t="s">
        <v>26</v>
      </c>
      <c r="D3" s="15" t="s">
        <v>10</v>
      </c>
      <c r="E3" s="16"/>
      <c r="G3" s="5" t="s">
        <v>11</v>
      </c>
    </row>
    <row r="4" spans="1:9" ht="27.75" customHeight="1" x14ac:dyDescent="0.25">
      <c r="A4" s="3">
        <v>1</v>
      </c>
      <c r="B4" s="11"/>
      <c r="D4" s="12" t="s">
        <v>1</v>
      </c>
      <c r="E4" s="13" t="e">
        <f>AVERAGE(B4:B15)</f>
        <v>#DIV/0!</v>
      </c>
      <c r="G4" s="17" t="e">
        <f>"A parada típica dura cerca de "&amp;TEXT(E5,"0")&amp;" minutos, com oscilação de uns "&amp;TEXT(E9,"0")&amp;" minutos para mais ou para menos. Metade dos turnos fica entre "&amp;TEXT(E12,"0.0")&amp;" e "&amp;TEXT(E14,"0.0")&amp;" minutos."</f>
        <v>#NUM!</v>
      </c>
    </row>
    <row r="5" spans="1:9" x14ac:dyDescent="0.25">
      <c r="A5" s="3">
        <v>2</v>
      </c>
      <c r="B5" s="11"/>
      <c r="D5" s="12" t="s">
        <v>2</v>
      </c>
      <c r="E5" s="13" t="e">
        <f>MEDIAN(B4:B15)</f>
        <v>#NUM!</v>
      </c>
    </row>
    <row r="6" spans="1:9" x14ac:dyDescent="0.25">
      <c r="A6" s="3">
        <v>3</v>
      </c>
      <c r="B6" s="11"/>
      <c r="D6" s="12" t="s">
        <v>3</v>
      </c>
      <c r="E6" s="14" t="e">
        <f>MODE(B4:B15)</f>
        <v>#N/A</v>
      </c>
    </row>
    <row r="7" spans="1:9" ht="22.5" customHeight="1" x14ac:dyDescent="0.25">
      <c r="A7" s="3">
        <v>4</v>
      </c>
      <c r="B7" s="11"/>
      <c r="D7" s="15" t="s">
        <v>12</v>
      </c>
      <c r="E7" s="16"/>
      <c r="G7" s="8" t="s">
        <v>13</v>
      </c>
    </row>
    <row r="8" spans="1:9" x14ac:dyDescent="0.25">
      <c r="A8" s="3">
        <v>5</v>
      </c>
      <c r="B8" s="11"/>
      <c r="D8" s="12" t="s">
        <v>14</v>
      </c>
      <c r="E8" s="9">
        <f>MAX(B4:B15)-MIN(B4:B15)</f>
        <v>0</v>
      </c>
      <c r="G8" s="8" t="s">
        <v>15</v>
      </c>
    </row>
    <row r="9" spans="1:9" x14ac:dyDescent="0.25">
      <c r="A9" s="3">
        <v>6</v>
      </c>
      <c r="B9" s="11"/>
      <c r="D9" s="12" t="s">
        <v>4</v>
      </c>
      <c r="E9" s="13" t="e">
        <f>STDEV(B4:B15)</f>
        <v>#DIV/0!</v>
      </c>
      <c r="G9" s="8"/>
    </row>
    <row r="10" spans="1:9" x14ac:dyDescent="0.25">
      <c r="A10" s="3">
        <v>7</v>
      </c>
      <c r="B10" s="11"/>
      <c r="D10" s="12" t="s">
        <v>16</v>
      </c>
      <c r="E10" s="10" t="e">
        <f>E9/E4</f>
        <v>#DIV/0!</v>
      </c>
      <c r="G10" s="8" t="s">
        <v>17</v>
      </c>
    </row>
    <row r="11" spans="1:9" x14ac:dyDescent="0.25">
      <c r="A11" s="3">
        <v>8</v>
      </c>
      <c r="B11" s="11"/>
      <c r="D11" s="15" t="s">
        <v>18</v>
      </c>
      <c r="E11" s="16"/>
      <c r="G11" s="8" t="s">
        <v>19</v>
      </c>
    </row>
    <row r="12" spans="1:9" x14ac:dyDescent="0.25">
      <c r="A12" s="3">
        <v>9</v>
      </c>
      <c r="B12" s="11"/>
      <c r="D12" s="12" t="s">
        <v>5</v>
      </c>
      <c r="E12" s="13" t="e">
        <f>QUARTILE($B$4:$B$15,1)</f>
        <v>#NUM!</v>
      </c>
      <c r="G12" s="8"/>
    </row>
    <row r="13" spans="1:9" x14ac:dyDescent="0.25">
      <c r="A13" s="3">
        <v>10</v>
      </c>
      <c r="B13" s="11"/>
      <c r="D13" s="12" t="s">
        <v>20</v>
      </c>
      <c r="E13" s="13" t="e">
        <f>QUARTILE($B$4:$B$15,2)</f>
        <v>#NUM!</v>
      </c>
      <c r="G13" s="4" t="s">
        <v>21</v>
      </c>
    </row>
    <row r="14" spans="1:9" x14ac:dyDescent="0.25">
      <c r="A14" s="3">
        <v>11</v>
      </c>
      <c r="B14" s="11"/>
      <c r="D14" s="12" t="s">
        <v>6</v>
      </c>
      <c r="E14" s="13" t="e">
        <f>QUARTILE($B$4:$B$15,3)</f>
        <v>#NUM!</v>
      </c>
      <c r="G14" s="8" t="s">
        <v>22</v>
      </c>
    </row>
    <row r="15" spans="1:9" x14ac:dyDescent="0.25">
      <c r="A15" s="3">
        <v>12</v>
      </c>
      <c r="B15" s="11"/>
      <c r="G15" s="8" t="s">
        <v>23</v>
      </c>
    </row>
    <row r="16" spans="1:9" x14ac:dyDescent="0.25">
      <c r="G16" s="8" t="s">
        <v>24</v>
      </c>
    </row>
    <row r="17" spans="7:7" x14ac:dyDescent="0.25">
      <c r="G17" s="8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 · Ficha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ISABELLA DE SOUZA VASCONCELOS</cp:lastModifiedBy>
  <cp:revision>0</cp:revision>
  <dcterms:created xsi:type="dcterms:W3CDTF">2026-08-24T21:55:23Z</dcterms:created>
  <dcterms:modified xsi:type="dcterms:W3CDTF">2026-09-19T20:08:28Z</dcterms:modified>
  <dc:language>en-US</dc:language>
</cp:coreProperties>
</file>